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BEE-DAL\BEE-DAL_EXP_V1.0\03_BOM\"/>
    </mc:Choice>
  </mc:AlternateContent>
  <xr:revisionPtr revIDLastSave="0" documentId="13_ncr:1_{0EC9018B-BF81-45EB-97DB-2384F521FD4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EE-DAL_EXP_V1.0" sheetId="1" r:id="rId1"/>
  </sheets>
  <definedNames>
    <definedName name="_xlnm.Print_Titles" localSheetId="0">'BEE-DAL_EXP_V1.0'!$1:$1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2" i="1" l="1"/>
</calcChain>
</file>

<file path=xl/sharedStrings.xml><?xml version="1.0" encoding="utf-8"?>
<sst xmlns="http://schemas.openxmlformats.org/spreadsheetml/2006/main" count="543" uniqueCount="352">
  <si>
    <t>Name</t>
  </si>
  <si>
    <t>Description</t>
  </si>
  <si>
    <t>Designator</t>
  </si>
  <si>
    <t>Quantity</t>
  </si>
  <si>
    <t>Library Name</t>
  </si>
  <si>
    <t>Footprint</t>
  </si>
  <si>
    <t>Manufacturer 1</t>
  </si>
  <si>
    <t>Manufacturer Part Number 1</t>
  </si>
  <si>
    <t>_LED_YELLOW</t>
  </si>
  <si>
    <t/>
  </si>
  <si>
    <t>D3, D10, D11, D12, D13, D14, D15, D16</t>
  </si>
  <si>
    <t>LABLIB.SchLib</t>
  </si>
  <si>
    <t>LED_0603</t>
  </si>
  <si>
    <t>Würth Elektronik Midcom</t>
  </si>
  <si>
    <t>150060YS75000</t>
  </si>
  <si>
    <t>0R</t>
  </si>
  <si>
    <t>R81, R144, R154, R156, R233, R234, R235, R236, R239, R240, R241, R242, R243, R244, R245, R246, R285, R286, R287, R296, R297, R298, R304, R305, R307, R311, R312</t>
  </si>
  <si>
    <t>RES_C_1005X40</t>
  </si>
  <si>
    <t>Yageo Group</t>
  </si>
  <si>
    <t>RC0402JR-070RL</t>
  </si>
  <si>
    <t>0.01uF/16V</t>
  </si>
  <si>
    <t>C19</t>
  </si>
  <si>
    <t>CAP_C_1608X80</t>
  </si>
  <si>
    <t>Samsung Electro-Mechanics</t>
  </si>
  <si>
    <t>CL10B103KB8NNNC</t>
  </si>
  <si>
    <t>0.05R/1W</t>
  </si>
  <si>
    <t>R173, R176</t>
  </si>
  <si>
    <t>RES_C_3216X70</t>
  </si>
  <si>
    <t>Stackpole Electronics</t>
  </si>
  <si>
    <t>CSNL1206FT50L0</t>
  </si>
  <si>
    <t>0.1uF/10V</t>
  </si>
  <si>
    <t>C13, C14, C15, C17, C18, C23, C29, C30, C31, C32, C33, C34, C35, C36, C37, C38, C39, C40, C41, C42, C43, C44, C45, C46, C47, C48, C49, C50, C51, C52, C53, C54, C55, C56, C57, C58, C59, C60, C61, C63, C64, C111, C112, C134, C137, C139, C141, C142, C143, C144, C164, C165, C166, C167, C168, C171, C172, C173, C174, C176, C177, C178, C179, C407, C408</t>
  </si>
  <si>
    <t>CAP_C_1005X60</t>
  </si>
  <si>
    <t>CL05B104KA5NNNC</t>
  </si>
  <si>
    <t>0.1uF/25V</t>
  </si>
  <si>
    <t>C16, C69, C70, C71, C72, C74, C75, C76, C77, C80, C81, C82, C83, C84, C85, C86, C87, C88, C89, C90, C91, C92, C93</t>
  </si>
  <si>
    <t>CL10B104KA8NNNC</t>
  </si>
  <si>
    <t>1k</t>
  </si>
  <si>
    <t>R5, R13, R256, R257, R258, R263, R271</t>
  </si>
  <si>
    <t>Panasonic</t>
  </si>
  <si>
    <t>ERJ2RKF1001X</t>
  </si>
  <si>
    <t>R174, R177</t>
  </si>
  <si>
    <t>RES_C_1608X60</t>
  </si>
  <si>
    <t>SEI</t>
  </si>
  <si>
    <t>RMCF0603FT1K00</t>
  </si>
  <si>
    <t>1M</t>
  </si>
  <si>
    <t>R112</t>
  </si>
  <si>
    <t>RC0402FR-071ML</t>
  </si>
  <si>
    <t>1N4007FL</t>
  </si>
  <si>
    <t>D18, D19, D20, D21</t>
  </si>
  <si>
    <t>SOD3717X145N</t>
  </si>
  <si>
    <t>Sangdest Microelectronics</t>
  </si>
  <si>
    <t>1N5819HW-7-F</t>
  </si>
  <si>
    <t>D5, D7</t>
  </si>
  <si>
    <t>Diodes Inc.</t>
  </si>
  <si>
    <t>1uF/20V</t>
  </si>
  <si>
    <t>C4, C10, C21, C65, C125, C131, C169, C170, C175, C409</t>
  </si>
  <si>
    <t>Holystone</t>
  </si>
  <si>
    <t>C0402B105K025T</t>
  </si>
  <si>
    <t>1.6k</t>
  </si>
  <si>
    <t>R8, R16, R266, R274</t>
  </si>
  <si>
    <t>ERJ2RKF1601X</t>
  </si>
  <si>
    <t>2.2nF/10V</t>
  </si>
  <si>
    <t>C5, C6, C11, C12, C126, C127, C132, C133</t>
  </si>
  <si>
    <t>CL05B222KB5NNNC</t>
  </si>
  <si>
    <t>2.2uF/10V</t>
  </si>
  <si>
    <t>C67, C411</t>
  </si>
  <si>
    <t>TDK</t>
  </si>
  <si>
    <t>C1005X7S1A225K050BC</t>
  </si>
  <si>
    <t>3.24k</t>
  </si>
  <si>
    <t>R35, R322</t>
  </si>
  <si>
    <t>Vishay</t>
  </si>
  <si>
    <t>CRCW04023K24FKED</t>
  </si>
  <si>
    <t>4.7k</t>
  </si>
  <si>
    <t>R108, R114, R115, R116, R117, R118, R119, R120, R121, R126, R127, R128, R129, R131, R132, R136, R137, R138, R139, R140, R145, R146, R147, R148, R149, R157, R158, R159, R160, R283, R284, R294, R295, R327, R328, R329, R330</t>
  </si>
  <si>
    <t>ERJ-2RKF4701X</t>
  </si>
  <si>
    <t>4.7uF/10V</t>
  </si>
  <si>
    <t>C62, C109, C110, C406</t>
  </si>
  <si>
    <t>CL05A475MP5NRNC</t>
  </si>
  <si>
    <t>5.62k</t>
  </si>
  <si>
    <t>R113</t>
  </si>
  <si>
    <t>ERJ2RKF5621X</t>
  </si>
  <si>
    <t>10k</t>
  </si>
  <si>
    <t>R6, R9, R14, R20, R23, R24, R50, R51, R52, R53, R62, R63, R65, R67, R78, R122, R130, R133, R163, R164, R165, R170, R180, R249, R250, R251, R264, R272, R275, R277, R279, R288, R299, R319, R320, R332, R338, R339, R342, R343, R346, R349, R352, R355, R409, R410, R415</t>
  </si>
  <si>
    <t>ERJ-2RKF1002X</t>
  </si>
  <si>
    <t>R175, R178</t>
  </si>
  <si>
    <t>RC0603FR-0710KL</t>
  </si>
  <si>
    <t>10uF/20V</t>
  </si>
  <si>
    <t>C27, C28, C68, C73, C78, C79, C113, C116, C119, C136, C138</t>
  </si>
  <si>
    <t>CAP_C_2012X110</t>
  </si>
  <si>
    <t>CL21A106KAYNNNE</t>
  </si>
  <si>
    <t>12pF/10V</t>
  </si>
  <si>
    <t>C24, C25, C26</t>
  </si>
  <si>
    <t>Murata</t>
  </si>
  <si>
    <t>GJM1555C1H120FB01D</t>
  </si>
  <si>
    <t>16.5k/1%</t>
  </si>
  <si>
    <t>R124, R125</t>
  </si>
  <si>
    <t>20k</t>
  </si>
  <si>
    <t>R172, R417</t>
  </si>
  <si>
    <t>RC0402FR-0720KL</t>
  </si>
  <si>
    <t>22nF/10V</t>
  </si>
  <si>
    <t>C66, C410</t>
  </si>
  <si>
    <t>C0402C223K4RACTU</t>
  </si>
  <si>
    <t>22R</t>
  </si>
  <si>
    <t>R18, R22, R25, R26, R27, R28, R29, R30, R31, R32, R33, R34, R36, R37, R38, R39, R40, R42, R44, R46, R47, R48, R49, R54, R55, R56, R57, R58, R59, R60, R61, R64, R66, R68, R69, R70, R71, R72, R73, R74, R75, R76, R77, R79, R80, R82, R83, R85, R86, R87, R88, R89, R90, R92, R93, R96, R97, R98, R99, R101, R102, R103, R104, R105, R106, R107, R109, R110, R111, R123, R142, R143, R150, R151, R161, R162, R166, R167, R168, R169, R171, R179, R303, R306, R308, R309, R310, R313, R321, R323, R324, R325, R326, R331, R334, R335, R344, R345, R347, R348, R350, R351, R353, R354, R411, R412, R413, R414, R416</t>
  </si>
  <si>
    <t>ERA-2AKD220X</t>
  </si>
  <si>
    <t>47k</t>
  </si>
  <si>
    <t>R3, R4, R7, R11, R12, R15, R261, R262, R269, R270</t>
  </si>
  <si>
    <t>ERJ2RKF4702X</t>
  </si>
  <si>
    <t>47uF/25V</t>
  </si>
  <si>
    <t>C1, C2, C3, C7, C8, C9, C20, C22, C114, C115, C117, C118, C120, C121, C122, C123, C124, C128, C129, C130</t>
  </si>
  <si>
    <t>CAP_C_3225X80</t>
  </si>
  <si>
    <t>TAIYO YUDEN</t>
  </si>
  <si>
    <t>TMK325ABJ476MMP</t>
  </si>
  <si>
    <t>47uH</t>
  </si>
  <si>
    <t>B82477P4473M000</t>
  </si>
  <si>
    <t>L1, L2</t>
  </si>
  <si>
    <t>BEE-DAL_EXP_sche.SCHLIB</t>
  </si>
  <si>
    <t>IND_MP_1250x1250x850</t>
  </si>
  <si>
    <t>EPCOS</t>
  </si>
  <si>
    <t>60R</t>
  </si>
  <si>
    <t>R17, R19</t>
  </si>
  <si>
    <t>ERJ2RKF60R4X</t>
  </si>
  <si>
    <t>100k</t>
  </si>
  <si>
    <t>R278</t>
  </si>
  <si>
    <t>ERJ-2RKF1003X</t>
  </si>
  <si>
    <t>120R</t>
  </si>
  <si>
    <t>R276, R336, R337, R340, R341</t>
  </si>
  <si>
    <t>ERA2AEB121X</t>
  </si>
  <si>
    <t>133k</t>
  </si>
  <si>
    <t>R265, R273</t>
  </si>
  <si>
    <t>ERJ-2RKF1333X</t>
  </si>
  <si>
    <t>470k</t>
  </si>
  <si>
    <t>R2, R10, R260, R268</t>
  </si>
  <si>
    <t>ERJ2RKF4703X</t>
  </si>
  <si>
    <t>0532610271</t>
  </si>
  <si>
    <t>J3, J11, J12</t>
  </si>
  <si>
    <t>MOLEX_0532610271</t>
  </si>
  <si>
    <t>Molex</t>
  </si>
  <si>
    <t>53261-0271</t>
  </si>
  <si>
    <t>0532610471</t>
  </si>
  <si>
    <t>J15, J17</t>
  </si>
  <si>
    <t>MOLEX_0532610471</t>
  </si>
  <si>
    <t>53261-0471</t>
  </si>
  <si>
    <t>0532610671</t>
  </si>
  <si>
    <t>J4, J5</t>
  </si>
  <si>
    <t>MOLEX_0532610671</t>
  </si>
  <si>
    <t>53261-0671</t>
  </si>
  <si>
    <t>0533980471</t>
  </si>
  <si>
    <t>J1</t>
  </si>
  <si>
    <t>MOLEX_0533980471</t>
  </si>
  <si>
    <t>53398-0471</t>
  </si>
  <si>
    <t>5040500491</t>
  </si>
  <si>
    <t>J6</t>
  </si>
  <si>
    <t>MOLEX_5040500491</t>
  </si>
  <si>
    <t>504050-0491</t>
  </si>
  <si>
    <t>5040500591</t>
  </si>
  <si>
    <t>J13, J14</t>
  </si>
  <si>
    <t>MOLEX_5040500591</t>
  </si>
  <si>
    <t>504050-0591</t>
  </si>
  <si>
    <t>5040500891</t>
  </si>
  <si>
    <t>J7, J8, J9, J10, J16, J18, J19, J20</t>
  </si>
  <si>
    <t>MOLEX_5040500891</t>
  </si>
  <si>
    <t>504050-0891</t>
  </si>
  <si>
    <t>AL8843SP-13</t>
  </si>
  <si>
    <t>IC LED DRIVER RGLTR PWM 3A 8SO</t>
  </si>
  <si>
    <t>U18, U19</t>
  </si>
  <si>
    <t>SOIC127P602X173-8N_EPAD</t>
  </si>
  <si>
    <t>AO3400A</t>
  </si>
  <si>
    <t>N-Channel 30 V 5.7A (Ta) 1.4W (Ta) Surface Mount SOT-23-3</t>
  </si>
  <si>
    <t>Q1, Q2, Q3, Q4</t>
  </si>
  <si>
    <t>SOT95P240X120-3N</t>
  </si>
  <si>
    <t>Alpha &amp; Omega Semiconductor</t>
  </si>
  <si>
    <t>BME688</t>
  </si>
  <si>
    <t>U13</t>
  </si>
  <si>
    <t>IC_BME688</t>
  </si>
  <si>
    <t>Bosch Tools</t>
  </si>
  <si>
    <t>DNP/0R</t>
  </si>
  <si>
    <t>JP5</t>
  </si>
  <si>
    <t>JUMPER_1-2_1608X60</t>
  </si>
  <si>
    <t>R289, R302, R315, R316, R317, R318</t>
  </si>
  <si>
    <t>DNP/4.7k</t>
  </si>
  <si>
    <t>R84, R91, R134, R135, R141, R152, R153, R155, R237, R238, R247, R248, R281, R282, R292, R293</t>
  </si>
  <si>
    <t>DNP/10k</t>
  </si>
  <si>
    <t>R1, R259, R267</t>
  </si>
  <si>
    <t>DNP/22R</t>
  </si>
  <si>
    <t>R94</t>
  </si>
  <si>
    <t>ESQ-126-14-G-D</t>
  </si>
  <si>
    <t>CONN SOCKET 52POS 0.1 GOLD PCB</t>
  </si>
  <si>
    <t>H1, H2</t>
  </si>
  <si>
    <t>SAMTEC_ESQ-126-14-G-D</t>
  </si>
  <si>
    <t>Samtec</t>
  </si>
  <si>
    <t>FC5BQCCMC12.0-T1</t>
  </si>
  <si>
    <t>XC1</t>
  </si>
  <si>
    <t>AP7-00039</t>
  </si>
  <si>
    <t>Abracon</t>
  </si>
  <si>
    <t>Header 8x1</t>
  </si>
  <si>
    <t>J2</t>
  </si>
  <si>
    <t>Header_254P_8x1</t>
  </si>
  <si>
    <t>hole_space</t>
  </si>
  <si>
    <t>Hole1, Hole2, Hole3, Hole4</t>
  </si>
  <si>
    <t>HEX-M3_NoVia</t>
  </si>
  <si>
    <t>IC_DRV8910QPWPRQ1</t>
  </si>
  <si>
    <t>U20</t>
  </si>
  <si>
    <t>Texas Instruments</t>
  </si>
  <si>
    <t>DRV8910QPWPRQ1</t>
  </si>
  <si>
    <t>IS66WVS8M8FBLL-104NLI</t>
  </si>
  <si>
    <t>U28</t>
  </si>
  <si>
    <t>SOIC8_150MIL_N_ISI</t>
  </si>
  <si>
    <t>ISSI</t>
  </si>
  <si>
    <t>JUMPER</t>
  </si>
  <si>
    <t>JP1, JP2, JP3, JP4, JP10, JP11</t>
  </si>
  <si>
    <t>JUMPER_1608</t>
  </si>
  <si>
    <t>KRL1632E-M-R010-F-T5</t>
  </si>
  <si>
    <t>R252, R253, R254, R255</t>
  </si>
  <si>
    <t>RES_C_1206_SHUNT</t>
  </si>
  <si>
    <t>Susumu</t>
  </si>
  <si>
    <t>LM1117MP-3.3/NOPB</t>
  </si>
  <si>
    <t>VR1, VR2, VR3</t>
  </si>
  <si>
    <t>VREG_LM1117MP-3.3/NOPB</t>
  </si>
  <si>
    <t>LSM6DSOXTR</t>
  </si>
  <si>
    <t>U14</t>
  </si>
  <si>
    <t>PQFN50P250X300X86-14N</t>
  </si>
  <si>
    <t>STMicroelectronics</t>
  </si>
  <si>
    <t>MAX3485CSA+T</t>
  </si>
  <si>
    <t>U34</t>
  </si>
  <si>
    <t>21-0041-3-M_90-0096-8L_MXM</t>
  </si>
  <si>
    <t>Analog Devices</t>
  </si>
  <si>
    <t>MAX22200ETJ+T</t>
  </si>
  <si>
    <t>U17, U35</t>
  </si>
  <si>
    <t>21-0140AK_T3255_8C_MXM</t>
  </si>
  <si>
    <t>MB85RS2MTAPNF-G-BDERE1</t>
  </si>
  <si>
    <t>U6</t>
  </si>
  <si>
    <t>SOIC127P602X173-8N</t>
  </si>
  <si>
    <t>Fujitsu</t>
  </si>
  <si>
    <t>mp-HighDriver</t>
  </si>
  <si>
    <t>U11</t>
  </si>
  <si>
    <t>MP_HIGHDRIVER</t>
  </si>
  <si>
    <t>mp-HighDriver4</t>
  </si>
  <si>
    <t>U15</t>
  </si>
  <si>
    <t>MP_HIGHDRIVER4</t>
  </si>
  <si>
    <t>OPA2340UA</t>
  </si>
  <si>
    <t>U36, U37</t>
  </si>
  <si>
    <t>PAC1934 UQFN-16</t>
  </si>
  <si>
    <t>U25</t>
  </si>
  <si>
    <t>UQFN-16_4X4_EP2.6X2.6</t>
  </si>
  <si>
    <t>Microchip</t>
  </si>
  <si>
    <t>PAC1934TI/JQ</t>
  </si>
  <si>
    <t>PCA9508DP,118</t>
  </si>
  <si>
    <t>U9, U10, U12, U16, U29, U30, U32</t>
  </si>
  <si>
    <t>TSOP8</t>
  </si>
  <si>
    <t>NXP Semiconductors</t>
  </si>
  <si>
    <t>RV-3129-C3-32.768KHZ-OPTION-A-TB-QA</t>
  </si>
  <si>
    <t>U7</t>
  </si>
  <si>
    <t>IC_RV-3129-C3_32.768KHZ_OPTION_A_TB_QA</t>
  </si>
  <si>
    <t>Micro Crystal</t>
  </si>
  <si>
    <t>SAMV71Q21B</t>
  </si>
  <si>
    <t>U5</t>
  </si>
  <si>
    <t>AP6-00118</t>
  </si>
  <si>
    <t>ATSAMV71Q21B-AABT</t>
  </si>
  <si>
    <t>SN65C3232PWR</t>
  </si>
  <si>
    <t>2/2 Transceiver Full RS232 16-TSSOP 1GHz</t>
  </si>
  <si>
    <t>U4</t>
  </si>
  <si>
    <t>SOP65P640X120-16N</t>
  </si>
  <si>
    <t>SN65HVD230DR</t>
  </si>
  <si>
    <t>U3</t>
  </si>
  <si>
    <t>BEE-1012 PAY-EXP_V110.IntLib</t>
  </si>
  <si>
    <t>SOIC127P600X175-8N</t>
  </si>
  <si>
    <t>SRP7050TA-220M</t>
  </si>
  <si>
    <t>FIXED IND 22UH 2.5A 170 MOHM SMD</t>
  </si>
  <si>
    <t>L3</t>
  </si>
  <si>
    <t>PSM6050</t>
  </si>
  <si>
    <t>Bourns</t>
  </si>
  <si>
    <t>SS54</t>
  </si>
  <si>
    <t>D1, D2, D4, D6, D8, D9, D17</t>
  </si>
  <si>
    <t>DO-214AC_SMA</t>
  </si>
  <si>
    <t>Multicomp</t>
  </si>
  <si>
    <t>TC1047AVNBTR</t>
  </si>
  <si>
    <t>U31</t>
  </si>
  <si>
    <t>TPL5010QDDCTQ1</t>
  </si>
  <si>
    <t>U8</t>
  </si>
  <si>
    <t>SOT95P280X145-6N</t>
  </si>
  <si>
    <t>TPS5430DDAR</t>
  </si>
  <si>
    <t>IC REG BUCK ADJ 3A 8SOPWR</t>
  </si>
  <si>
    <t>U33</t>
  </si>
  <si>
    <t>TPS54531DDAR</t>
  </si>
  <si>
    <t>TPS259470ARPWR</t>
  </si>
  <si>
    <t>U1, U2, U26, U27</t>
  </si>
  <si>
    <t>VQFN-HR-10</t>
  </si>
  <si>
    <t>LED YELLOW CLEAR 0603 SMD</t>
  </si>
  <si>
    <t>CAP CER 10000PF 50V X7R 0603</t>
  </si>
  <si>
    <t>RES 0 OHM JUMPER 1/16W 0402</t>
  </si>
  <si>
    <t>RES 0.05 OHM 1% 1W 1206</t>
  </si>
  <si>
    <t>CAP CER 0.1UF 25V X7R 0402</t>
  </si>
  <si>
    <t>CAP CER 0.1UF 25V X7R 0603</t>
  </si>
  <si>
    <t>RES SMD 1K OHM 1% 1/10W 0402</t>
  </si>
  <si>
    <t>RES 1K OHM 1% 1/10W 0603</t>
  </si>
  <si>
    <t>RES 1M OHM 1% 1/16W 0402</t>
  </si>
  <si>
    <t>DIODE STANDARD 1000V 1A SOD123FL</t>
  </si>
  <si>
    <t>DIODE SCHOTTKY 40V 1A SOD123</t>
  </si>
  <si>
    <t>CAP CER 1UF 25V X5R 0402</t>
  </si>
  <si>
    <t>RES SMD 1.6K OHM 1% 1/10W 0402</t>
  </si>
  <si>
    <t>CAP CER 2200PF 50V X7R 0402</t>
  </si>
  <si>
    <t>CAP CER 2.2UF 10V X7S 0402</t>
  </si>
  <si>
    <t>RES 3.24K OHM 1% 1/16W 0402</t>
  </si>
  <si>
    <t>RES SMD 4.7K OHM 1% 1/10W 0402</t>
  </si>
  <si>
    <t>CAP CER 4.7UF 10V X5R 0402</t>
  </si>
  <si>
    <t>RES SMD 5.62K OHM 1% 1/10W 0402</t>
  </si>
  <si>
    <t>RES SMD 10K OHM 1% 1/10W 0402</t>
  </si>
  <si>
    <t>RES 10K OHM 1% 1/10W 0603</t>
  </si>
  <si>
    <t>CAP CER 10UF 25V X5R 0805</t>
  </si>
  <si>
    <t>CAP CER 12PF 50V C0G/NP0 0402</t>
  </si>
  <si>
    <t>RMCF0402FT16K5</t>
  </si>
  <si>
    <t>RES 16.5K OHM 1% 1/16W 0402</t>
  </si>
  <si>
    <t>RES 20K OHM 1% 1/16W 0402</t>
  </si>
  <si>
    <t>CAP CER 0.022UF 16V X7R 0402</t>
  </si>
  <si>
    <t>RES SMD 22 OHM 0.5% 1/16W 0402</t>
  </si>
  <si>
    <t>RES SMD 47K OHM 1% 1/10W 0402</t>
  </si>
  <si>
    <t>CAP CER 47UF 25V X5R 1210</t>
  </si>
  <si>
    <t>FIXED IND 47UH 2.8A 67 MOHM SMD</t>
  </si>
  <si>
    <t>RES SMD 60.4 OHM 1% 1/10W 0402</t>
  </si>
  <si>
    <t>RES 100K OHM 1% 1/10W 0402</t>
  </si>
  <si>
    <t>RES SMD 120 OHM 0.1% 1/16W 0402</t>
  </si>
  <si>
    <t>RES SMD 133K OHM 1% 1/10W 0402</t>
  </si>
  <si>
    <t>RES SMD 470K OHM 1% 1/10W 0402</t>
  </si>
  <si>
    <t>CONN HEADER SMD R/A 2POS 1.25MM</t>
  </si>
  <si>
    <t>CONN HEADER SMD R/A 4POS 1.25MM</t>
  </si>
  <si>
    <t>CONN HEADER SMD R/A 6POS 1.25MM</t>
  </si>
  <si>
    <t>CONN HEADER SMD 4POS 1.25MM</t>
  </si>
  <si>
    <t>CONN HEADER SMD R/A 4POS 1.5MM</t>
  </si>
  <si>
    <t>CONN HEADER SMD R/A 5POS 1.5MM</t>
  </si>
  <si>
    <t>CONN HEADER SMD R/A 8POS 1.5MM</t>
  </si>
  <si>
    <t>CRYSTAL 12.0000MHZ 20PF SMD</t>
  </si>
  <si>
    <t>IC HALF BRIDGE DRVR 6A 24HTSSOP</t>
  </si>
  <si>
    <t>IC PSRAM 64M SPI/QUAD I/O 8-SOIC</t>
  </si>
  <si>
    <t>RES 0.01 OHM 1% 3/4W 1206</t>
  </si>
  <si>
    <t>IC REG LINEAR 3.3V 800MA SOT-223</t>
  </si>
  <si>
    <t>INEMO INERTIAL MODULE: 3D ACCELE</t>
  </si>
  <si>
    <t>IC TRANSCEIVER HALF 1/1 8SOIC</t>
  </si>
  <si>
    <t>EIGHT HALF-BRIDGES SERIAL CONTRO</t>
  </si>
  <si>
    <t>IC FRAM 2MBIT SPI 40MHZ 8SOP</t>
  </si>
  <si>
    <t>IC CMOS 2 CIRCUIT 8SOIC</t>
  </si>
  <si>
    <t>IC CURRENT MONITOR 1% 16UQFN</t>
  </si>
  <si>
    <t>IC REDRIVER I2C HOTSWAP 8TSSOP</t>
  </si>
  <si>
    <t>IC RTC CLK/CALENDAR I2C 10SON</t>
  </si>
  <si>
    <t>IC MCU 32BIT 2MB FLASH 144LQFP</t>
  </si>
  <si>
    <t>DIODE SCHOTTKY 40V 5A SMA</t>
  </si>
  <si>
    <t>SENSOR ANALOG -40C-125C SOT23-3</t>
  </si>
  <si>
    <t>IC OSC PROG TIMER SOT-23-6</t>
  </si>
  <si>
    <t>IC ELECTRONIC FUSE 10VQFN</t>
  </si>
  <si>
    <t>SENSOR GAS/HUM/PRES/TEMP I2C SPI</t>
  </si>
  <si>
    <t>TOTAL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</si>
</sst>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4" xfId="0" quotePrefix="1" applyBorder="1">
      <alignment vertical="center"/>
    </xf>
    <xf numFmtId="0" fontId="0" fillId="0" borderId="5" xfId="0" quotePrefix="1" applyBorder="1">
      <alignment vertical="center"/>
    </xf>
    <xf numFmtId="0" fontId="0" fillId="0" borderId="6" xfId="0" quotePrefix="1" applyBorder="1">
      <alignment vertical="center"/>
    </xf>
    <xf numFmtId="0" fontId="0" fillId="0" borderId="7" xfId="0" quotePrefix="1" applyBorder="1">
      <alignment vertical="center"/>
    </xf>
    <xf numFmtId="0" fontId="0" fillId="0" borderId="8" xfId="0" quotePrefix="1" applyBorder="1">
      <alignment vertical="center"/>
    </xf>
    <xf numFmtId="0" fontId="0" fillId="0" borderId="9" xfId="0" quotePrefix="1" applyBorder="1">
      <alignment vertical="center"/>
    </xf>
    <xf numFmtId="0" fontId="0" fillId="0" borderId="10" xfId="0" quotePrefix="1" applyBorder="1">
      <alignment vertical="center"/>
    </xf>
    <xf numFmtId="0" fontId="0" fillId="0" borderId="11" xfId="0" quotePrefix="1" applyBorder="1">
      <alignment vertical="center"/>
    </xf>
    <xf numFmtId="0" fontId="0" fillId="0" borderId="12" xfId="0" quotePrefix="1" applyBorder="1">
      <alignment vertical="center"/>
    </xf>
    <xf numFmtId="0" fontId="0" fillId="0" borderId="0" xfId="0" applyFill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topLeftCell="A55" workbookViewId="0">
      <selection activeCell="E84" sqref="E84"/>
    </sheetView>
  </sheetViews>
  <sheetFormatPr defaultColWidth="8.88671875" defaultRowHeight="14.4"/>
  <cols>
    <col min="1" max="1" width="14.6640625" customWidth="1"/>
    <col min="2" max="2" width="25.21875" customWidth="1"/>
    <col min="3" max="3" width="23.21875" customWidth="1"/>
    <col min="4" max="4" width="12.33203125" customWidth="1"/>
    <col min="5" max="5" width="26.6640625" bestFit="1" customWidth="1"/>
    <col min="6" max="6" width="24.109375" customWidth="1"/>
    <col min="7" max="7" width="15.77734375" customWidth="1"/>
    <col min="8" max="8" width="26" customWidth="1"/>
  </cols>
  <sheetData>
    <row r="1" spans="1:8" s="1" customForma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9" t="s">
        <v>8</v>
      </c>
      <c r="B2" s="10" t="s">
        <v>289</v>
      </c>
      <c r="C2" s="10" t="s">
        <v>10</v>
      </c>
      <c r="D2" s="5">
        <v>8</v>
      </c>
      <c r="E2" s="10" t="s">
        <v>11</v>
      </c>
      <c r="F2" s="10" t="s">
        <v>12</v>
      </c>
      <c r="G2" s="10" t="s">
        <v>13</v>
      </c>
      <c r="H2" s="11" t="s">
        <v>14</v>
      </c>
    </row>
    <row r="3" spans="1:8">
      <c r="A3" s="12" t="s">
        <v>15</v>
      </c>
      <c r="B3" s="13" t="s">
        <v>291</v>
      </c>
      <c r="C3" s="13" t="s">
        <v>16</v>
      </c>
      <c r="D3" s="6">
        <v>27</v>
      </c>
      <c r="E3" s="13" t="s">
        <v>11</v>
      </c>
      <c r="F3" s="13" t="s">
        <v>17</v>
      </c>
      <c r="G3" s="13" t="s">
        <v>18</v>
      </c>
      <c r="H3" s="14" t="s">
        <v>19</v>
      </c>
    </row>
    <row r="4" spans="1:8">
      <c r="A4" s="12" t="s">
        <v>20</v>
      </c>
      <c r="B4" s="13" t="s">
        <v>290</v>
      </c>
      <c r="C4" s="13" t="s">
        <v>21</v>
      </c>
      <c r="D4" s="6">
        <v>1</v>
      </c>
      <c r="E4" s="13" t="s">
        <v>11</v>
      </c>
      <c r="F4" s="13" t="s">
        <v>22</v>
      </c>
      <c r="G4" s="13" t="s">
        <v>23</v>
      </c>
      <c r="H4" s="14" t="s">
        <v>24</v>
      </c>
    </row>
    <row r="5" spans="1:8">
      <c r="A5" s="12" t="s">
        <v>25</v>
      </c>
      <c r="B5" s="13" t="s">
        <v>292</v>
      </c>
      <c r="C5" s="13" t="s">
        <v>26</v>
      </c>
      <c r="D5" s="6">
        <v>2</v>
      </c>
      <c r="E5" s="13" t="s">
        <v>11</v>
      </c>
      <c r="F5" s="13" t="s">
        <v>27</v>
      </c>
      <c r="G5" s="13" t="s">
        <v>28</v>
      </c>
      <c r="H5" s="14" t="s">
        <v>29</v>
      </c>
    </row>
    <row r="6" spans="1:8">
      <c r="A6" s="12" t="s">
        <v>30</v>
      </c>
      <c r="B6" s="13" t="s">
        <v>293</v>
      </c>
      <c r="C6" s="13" t="s">
        <v>31</v>
      </c>
      <c r="D6" s="6">
        <v>65</v>
      </c>
      <c r="E6" s="13" t="s">
        <v>11</v>
      </c>
      <c r="F6" s="13" t="s">
        <v>32</v>
      </c>
      <c r="G6" s="13" t="s">
        <v>23</v>
      </c>
      <c r="H6" s="14" t="s">
        <v>33</v>
      </c>
    </row>
    <row r="7" spans="1:8">
      <c r="A7" s="12" t="s">
        <v>34</v>
      </c>
      <c r="B7" s="13" t="s">
        <v>294</v>
      </c>
      <c r="C7" s="13" t="s">
        <v>35</v>
      </c>
      <c r="D7" s="6">
        <v>23</v>
      </c>
      <c r="E7" s="13" t="s">
        <v>11</v>
      </c>
      <c r="F7" s="13" t="s">
        <v>22</v>
      </c>
      <c r="G7" s="13" t="s">
        <v>23</v>
      </c>
      <c r="H7" s="14" t="s">
        <v>36</v>
      </c>
    </row>
    <row r="8" spans="1:8">
      <c r="A8" s="12" t="s">
        <v>37</v>
      </c>
      <c r="B8" s="13" t="s">
        <v>295</v>
      </c>
      <c r="C8" s="13" t="s">
        <v>38</v>
      </c>
      <c r="D8" s="6">
        <v>7</v>
      </c>
      <c r="E8" s="13" t="s">
        <v>11</v>
      </c>
      <c r="F8" s="13" t="s">
        <v>17</v>
      </c>
      <c r="G8" s="13" t="s">
        <v>39</v>
      </c>
      <c r="H8" s="14" t="s">
        <v>40</v>
      </c>
    </row>
    <row r="9" spans="1:8">
      <c r="A9" s="12" t="s">
        <v>37</v>
      </c>
      <c r="B9" s="13" t="s">
        <v>296</v>
      </c>
      <c r="C9" s="13" t="s">
        <v>41</v>
      </c>
      <c r="D9" s="6">
        <v>2</v>
      </c>
      <c r="E9" s="13" t="s">
        <v>11</v>
      </c>
      <c r="F9" s="13" t="s">
        <v>42</v>
      </c>
      <c r="G9" s="13" t="s">
        <v>43</v>
      </c>
      <c r="H9" s="14" t="s">
        <v>44</v>
      </c>
    </row>
    <row r="10" spans="1:8">
      <c r="A10" s="12" t="s">
        <v>45</v>
      </c>
      <c r="B10" s="13" t="s">
        <v>297</v>
      </c>
      <c r="C10" s="13" t="s">
        <v>46</v>
      </c>
      <c r="D10" s="6">
        <v>1</v>
      </c>
      <c r="E10" s="13" t="s">
        <v>11</v>
      </c>
      <c r="F10" s="13" t="s">
        <v>17</v>
      </c>
      <c r="G10" s="13" t="s">
        <v>18</v>
      </c>
      <c r="H10" s="14" t="s">
        <v>47</v>
      </c>
    </row>
    <row r="11" spans="1:8">
      <c r="A11" s="12" t="s">
        <v>48</v>
      </c>
      <c r="B11" s="13" t="s">
        <v>298</v>
      </c>
      <c r="C11" s="13" t="s">
        <v>49</v>
      </c>
      <c r="D11" s="6">
        <v>4</v>
      </c>
      <c r="E11" s="13" t="s">
        <v>11</v>
      </c>
      <c r="F11" s="13" t="s">
        <v>50</v>
      </c>
      <c r="G11" s="13" t="s">
        <v>51</v>
      </c>
      <c r="H11" s="14" t="s">
        <v>48</v>
      </c>
    </row>
    <row r="12" spans="1:8">
      <c r="A12" s="12" t="s">
        <v>52</v>
      </c>
      <c r="B12" s="13" t="s">
        <v>299</v>
      </c>
      <c r="C12" s="13" t="s">
        <v>53</v>
      </c>
      <c r="D12" s="6">
        <v>2</v>
      </c>
      <c r="E12" s="13" t="s">
        <v>11</v>
      </c>
      <c r="F12" s="13" t="s">
        <v>50</v>
      </c>
      <c r="G12" s="13" t="s">
        <v>54</v>
      </c>
      <c r="H12" s="14" t="s">
        <v>52</v>
      </c>
    </row>
    <row r="13" spans="1:8">
      <c r="A13" s="12" t="s">
        <v>55</v>
      </c>
      <c r="B13" s="13" t="s">
        <v>300</v>
      </c>
      <c r="C13" s="13" t="s">
        <v>56</v>
      </c>
      <c r="D13" s="6">
        <v>10</v>
      </c>
      <c r="E13" s="13" t="s">
        <v>11</v>
      </c>
      <c r="F13" s="13" t="s">
        <v>32</v>
      </c>
      <c r="G13" s="13" t="s">
        <v>57</v>
      </c>
      <c r="H13" s="14" t="s">
        <v>58</v>
      </c>
    </row>
    <row r="14" spans="1:8">
      <c r="A14" s="12" t="s">
        <v>59</v>
      </c>
      <c r="B14" s="13" t="s">
        <v>301</v>
      </c>
      <c r="C14" s="13" t="s">
        <v>60</v>
      </c>
      <c r="D14" s="6">
        <v>4</v>
      </c>
      <c r="E14" s="13" t="s">
        <v>11</v>
      </c>
      <c r="F14" s="13" t="s">
        <v>17</v>
      </c>
      <c r="G14" s="13" t="s">
        <v>39</v>
      </c>
      <c r="H14" s="14" t="s">
        <v>61</v>
      </c>
    </row>
    <row r="15" spans="1:8">
      <c r="A15" s="12" t="s">
        <v>62</v>
      </c>
      <c r="B15" s="13" t="s">
        <v>302</v>
      </c>
      <c r="C15" s="13" t="s">
        <v>63</v>
      </c>
      <c r="D15" s="6">
        <v>8</v>
      </c>
      <c r="E15" s="13" t="s">
        <v>11</v>
      </c>
      <c r="F15" s="13" t="s">
        <v>32</v>
      </c>
      <c r="G15" s="13" t="s">
        <v>23</v>
      </c>
      <c r="H15" s="14" t="s">
        <v>64</v>
      </c>
    </row>
    <row r="16" spans="1:8">
      <c r="A16" s="12" t="s">
        <v>65</v>
      </c>
      <c r="B16" s="13" t="s">
        <v>303</v>
      </c>
      <c r="C16" s="13" t="s">
        <v>66</v>
      </c>
      <c r="D16" s="6">
        <v>2</v>
      </c>
      <c r="E16" s="13" t="s">
        <v>11</v>
      </c>
      <c r="F16" s="13" t="s">
        <v>32</v>
      </c>
      <c r="G16" s="13" t="s">
        <v>67</v>
      </c>
      <c r="H16" s="14" t="s">
        <v>68</v>
      </c>
    </row>
    <row r="17" spans="1:8">
      <c r="A17" s="12" t="s">
        <v>69</v>
      </c>
      <c r="B17" s="13" t="s">
        <v>304</v>
      </c>
      <c r="C17" s="13" t="s">
        <v>70</v>
      </c>
      <c r="D17" s="6">
        <v>2</v>
      </c>
      <c r="E17" s="13" t="s">
        <v>11</v>
      </c>
      <c r="F17" s="13" t="s">
        <v>17</v>
      </c>
      <c r="G17" s="13" t="s">
        <v>71</v>
      </c>
      <c r="H17" s="14" t="s">
        <v>72</v>
      </c>
    </row>
    <row r="18" spans="1:8">
      <c r="A18" s="12" t="s">
        <v>73</v>
      </c>
      <c r="B18" s="13" t="s">
        <v>305</v>
      </c>
      <c r="C18" s="13" t="s">
        <v>74</v>
      </c>
      <c r="D18" s="6">
        <v>37</v>
      </c>
      <c r="E18" s="13" t="s">
        <v>11</v>
      </c>
      <c r="F18" s="13" t="s">
        <v>17</v>
      </c>
      <c r="G18" s="13" t="s">
        <v>39</v>
      </c>
      <c r="H18" s="14" t="s">
        <v>75</v>
      </c>
    </row>
    <row r="19" spans="1:8">
      <c r="A19" s="12" t="s">
        <v>76</v>
      </c>
      <c r="B19" s="13" t="s">
        <v>306</v>
      </c>
      <c r="C19" s="13" t="s">
        <v>77</v>
      </c>
      <c r="D19" s="6">
        <v>4</v>
      </c>
      <c r="E19" s="13" t="s">
        <v>11</v>
      </c>
      <c r="F19" s="13" t="s">
        <v>32</v>
      </c>
      <c r="G19" s="13" t="s">
        <v>23</v>
      </c>
      <c r="H19" s="14" t="s">
        <v>78</v>
      </c>
    </row>
    <row r="20" spans="1:8">
      <c r="A20" s="12" t="s">
        <v>79</v>
      </c>
      <c r="B20" s="13" t="s">
        <v>307</v>
      </c>
      <c r="C20" s="13" t="s">
        <v>80</v>
      </c>
      <c r="D20" s="6">
        <v>1</v>
      </c>
      <c r="E20" s="13" t="s">
        <v>11</v>
      </c>
      <c r="F20" s="13" t="s">
        <v>17</v>
      </c>
      <c r="G20" s="13" t="s">
        <v>39</v>
      </c>
      <c r="H20" s="14" t="s">
        <v>81</v>
      </c>
    </row>
    <row r="21" spans="1:8">
      <c r="A21" s="12" t="s">
        <v>82</v>
      </c>
      <c r="B21" s="13" t="s">
        <v>308</v>
      </c>
      <c r="C21" s="13" t="s">
        <v>83</v>
      </c>
      <c r="D21" s="6">
        <v>47</v>
      </c>
      <c r="E21" s="13" t="s">
        <v>11</v>
      </c>
      <c r="F21" s="13" t="s">
        <v>17</v>
      </c>
      <c r="G21" s="13" t="s">
        <v>39</v>
      </c>
      <c r="H21" s="14" t="s">
        <v>84</v>
      </c>
    </row>
    <row r="22" spans="1:8">
      <c r="A22" s="12" t="s">
        <v>82</v>
      </c>
      <c r="B22" s="13" t="s">
        <v>309</v>
      </c>
      <c r="C22" s="13" t="s">
        <v>85</v>
      </c>
      <c r="D22" s="6">
        <v>2</v>
      </c>
      <c r="E22" s="13" t="s">
        <v>11</v>
      </c>
      <c r="F22" s="13" t="s">
        <v>42</v>
      </c>
      <c r="G22" s="13" t="s">
        <v>18</v>
      </c>
      <c r="H22" s="14" t="s">
        <v>86</v>
      </c>
    </row>
    <row r="23" spans="1:8">
      <c r="A23" s="12" t="s">
        <v>87</v>
      </c>
      <c r="B23" s="13" t="s">
        <v>310</v>
      </c>
      <c r="C23" s="13" t="s">
        <v>88</v>
      </c>
      <c r="D23" s="6">
        <v>11</v>
      </c>
      <c r="E23" s="13" t="s">
        <v>11</v>
      </c>
      <c r="F23" s="13" t="s">
        <v>89</v>
      </c>
      <c r="G23" s="13" t="s">
        <v>23</v>
      </c>
      <c r="H23" s="14" t="s">
        <v>90</v>
      </c>
    </row>
    <row r="24" spans="1:8">
      <c r="A24" s="12" t="s">
        <v>91</v>
      </c>
      <c r="B24" s="13" t="s">
        <v>311</v>
      </c>
      <c r="C24" s="13" t="s">
        <v>92</v>
      </c>
      <c r="D24" s="6">
        <v>3</v>
      </c>
      <c r="E24" s="13" t="s">
        <v>11</v>
      </c>
      <c r="F24" s="13" t="s">
        <v>32</v>
      </c>
      <c r="G24" s="13" t="s">
        <v>93</v>
      </c>
      <c r="H24" s="14" t="s">
        <v>94</v>
      </c>
    </row>
    <row r="25" spans="1:8">
      <c r="A25" s="12" t="s">
        <v>95</v>
      </c>
      <c r="B25" s="13" t="s">
        <v>313</v>
      </c>
      <c r="C25" s="13" t="s">
        <v>96</v>
      </c>
      <c r="D25" s="6">
        <v>2</v>
      </c>
      <c r="E25" s="13" t="s">
        <v>11</v>
      </c>
      <c r="F25" s="13" t="s">
        <v>17</v>
      </c>
      <c r="G25" s="13" t="s">
        <v>28</v>
      </c>
      <c r="H25" s="14" t="s">
        <v>312</v>
      </c>
    </row>
    <row r="26" spans="1:8">
      <c r="A26" s="12" t="s">
        <v>97</v>
      </c>
      <c r="B26" s="13" t="s">
        <v>314</v>
      </c>
      <c r="C26" s="13" t="s">
        <v>98</v>
      </c>
      <c r="D26" s="6">
        <v>2</v>
      </c>
      <c r="E26" s="13" t="s">
        <v>11</v>
      </c>
      <c r="F26" s="13" t="s">
        <v>17</v>
      </c>
      <c r="G26" s="13" t="s">
        <v>18</v>
      </c>
      <c r="H26" s="14" t="s">
        <v>99</v>
      </c>
    </row>
    <row r="27" spans="1:8">
      <c r="A27" s="12" t="s">
        <v>100</v>
      </c>
      <c r="B27" s="13" t="s">
        <v>315</v>
      </c>
      <c r="C27" s="13" t="s">
        <v>101</v>
      </c>
      <c r="D27" s="6">
        <v>2</v>
      </c>
      <c r="E27" s="13" t="s">
        <v>11</v>
      </c>
      <c r="F27" s="13" t="s">
        <v>32</v>
      </c>
      <c r="G27" s="13" t="s">
        <v>18</v>
      </c>
      <c r="H27" s="14" t="s">
        <v>102</v>
      </c>
    </row>
    <row r="28" spans="1:8">
      <c r="A28" s="12" t="s">
        <v>103</v>
      </c>
      <c r="B28" s="13" t="s">
        <v>316</v>
      </c>
      <c r="C28" s="13" t="s">
        <v>104</v>
      </c>
      <c r="D28" s="6">
        <v>109</v>
      </c>
      <c r="E28" s="13" t="s">
        <v>11</v>
      </c>
      <c r="F28" s="13" t="s">
        <v>17</v>
      </c>
      <c r="G28" s="13" t="s">
        <v>39</v>
      </c>
      <c r="H28" s="14" t="s">
        <v>105</v>
      </c>
    </row>
    <row r="29" spans="1:8">
      <c r="A29" s="12" t="s">
        <v>106</v>
      </c>
      <c r="B29" s="13" t="s">
        <v>317</v>
      </c>
      <c r="C29" s="13" t="s">
        <v>107</v>
      </c>
      <c r="D29" s="6">
        <v>10</v>
      </c>
      <c r="E29" s="13" t="s">
        <v>11</v>
      </c>
      <c r="F29" s="13" t="s">
        <v>17</v>
      </c>
      <c r="G29" s="13" t="s">
        <v>39</v>
      </c>
      <c r="H29" s="14" t="s">
        <v>108</v>
      </c>
    </row>
    <row r="30" spans="1:8">
      <c r="A30" s="12" t="s">
        <v>109</v>
      </c>
      <c r="B30" s="13" t="s">
        <v>318</v>
      </c>
      <c r="C30" s="13" t="s">
        <v>110</v>
      </c>
      <c r="D30" s="6">
        <v>20</v>
      </c>
      <c r="E30" s="13" t="s">
        <v>11</v>
      </c>
      <c r="F30" s="13" t="s">
        <v>111</v>
      </c>
      <c r="G30" s="13" t="s">
        <v>112</v>
      </c>
      <c r="H30" s="14" t="s">
        <v>113</v>
      </c>
    </row>
    <row r="31" spans="1:8">
      <c r="A31" s="12" t="s">
        <v>114</v>
      </c>
      <c r="B31" s="13" t="s">
        <v>319</v>
      </c>
      <c r="C31" s="13" t="s">
        <v>116</v>
      </c>
      <c r="D31" s="6">
        <v>2</v>
      </c>
      <c r="E31" s="13" t="s">
        <v>117</v>
      </c>
      <c r="F31" s="13" t="s">
        <v>118</v>
      </c>
      <c r="G31" s="13" t="s">
        <v>119</v>
      </c>
      <c r="H31" s="14" t="s">
        <v>115</v>
      </c>
    </row>
    <row r="32" spans="1:8">
      <c r="A32" s="12" t="s">
        <v>120</v>
      </c>
      <c r="B32" s="13" t="s">
        <v>320</v>
      </c>
      <c r="C32" s="13" t="s">
        <v>121</v>
      </c>
      <c r="D32" s="6">
        <v>2</v>
      </c>
      <c r="E32" s="13" t="s">
        <v>11</v>
      </c>
      <c r="F32" s="13" t="s">
        <v>17</v>
      </c>
      <c r="G32" s="13" t="s">
        <v>39</v>
      </c>
      <c r="H32" s="14" t="s">
        <v>122</v>
      </c>
    </row>
    <row r="33" spans="1:8">
      <c r="A33" s="12" t="s">
        <v>123</v>
      </c>
      <c r="B33" s="13" t="s">
        <v>321</v>
      </c>
      <c r="C33" s="13" t="s">
        <v>124</v>
      </c>
      <c r="D33" s="6">
        <v>1</v>
      </c>
      <c r="E33" s="13" t="s">
        <v>11</v>
      </c>
      <c r="F33" s="13" t="s">
        <v>17</v>
      </c>
      <c r="G33" s="13" t="s">
        <v>39</v>
      </c>
      <c r="H33" s="14" t="s">
        <v>125</v>
      </c>
    </row>
    <row r="34" spans="1:8">
      <c r="A34" s="12" t="s">
        <v>126</v>
      </c>
      <c r="B34" s="13" t="s">
        <v>322</v>
      </c>
      <c r="C34" s="13" t="s">
        <v>127</v>
      </c>
      <c r="D34" s="6">
        <v>5</v>
      </c>
      <c r="E34" s="13" t="s">
        <v>11</v>
      </c>
      <c r="F34" s="13" t="s">
        <v>17</v>
      </c>
      <c r="G34" s="13" t="s">
        <v>39</v>
      </c>
      <c r="H34" s="14" t="s">
        <v>128</v>
      </c>
    </row>
    <row r="35" spans="1:8">
      <c r="A35" s="12" t="s">
        <v>129</v>
      </c>
      <c r="B35" s="13" t="s">
        <v>323</v>
      </c>
      <c r="C35" s="13" t="s">
        <v>130</v>
      </c>
      <c r="D35" s="6">
        <v>2</v>
      </c>
      <c r="E35" s="13" t="s">
        <v>11</v>
      </c>
      <c r="F35" s="13" t="s">
        <v>17</v>
      </c>
      <c r="G35" s="13" t="s">
        <v>39</v>
      </c>
      <c r="H35" s="14" t="s">
        <v>131</v>
      </c>
    </row>
    <row r="36" spans="1:8">
      <c r="A36" s="12" t="s">
        <v>132</v>
      </c>
      <c r="B36" s="13" t="s">
        <v>324</v>
      </c>
      <c r="C36" s="13" t="s">
        <v>133</v>
      </c>
      <c r="D36" s="6">
        <v>4</v>
      </c>
      <c r="E36" s="13" t="s">
        <v>11</v>
      </c>
      <c r="F36" s="13" t="s">
        <v>17</v>
      </c>
      <c r="G36" s="13" t="s">
        <v>39</v>
      </c>
      <c r="H36" s="14" t="s">
        <v>134</v>
      </c>
    </row>
    <row r="37" spans="1:8">
      <c r="A37" s="12" t="s">
        <v>135</v>
      </c>
      <c r="B37" s="13" t="s">
        <v>325</v>
      </c>
      <c r="C37" s="13" t="s">
        <v>136</v>
      </c>
      <c r="D37" s="6">
        <v>3</v>
      </c>
      <c r="E37" s="13" t="s">
        <v>11</v>
      </c>
      <c r="F37" s="13" t="s">
        <v>137</v>
      </c>
      <c r="G37" s="13" t="s">
        <v>138</v>
      </c>
      <c r="H37" s="14" t="s">
        <v>139</v>
      </c>
    </row>
    <row r="38" spans="1:8">
      <c r="A38" s="12" t="s">
        <v>140</v>
      </c>
      <c r="B38" s="13" t="s">
        <v>326</v>
      </c>
      <c r="C38" s="13" t="s">
        <v>141</v>
      </c>
      <c r="D38" s="6">
        <v>2</v>
      </c>
      <c r="E38" s="13" t="s">
        <v>117</v>
      </c>
      <c r="F38" s="13" t="s">
        <v>142</v>
      </c>
      <c r="G38" s="13" t="s">
        <v>138</v>
      </c>
      <c r="H38" s="14" t="s">
        <v>143</v>
      </c>
    </row>
    <row r="39" spans="1:8">
      <c r="A39" s="12" t="s">
        <v>144</v>
      </c>
      <c r="B39" s="13" t="s">
        <v>327</v>
      </c>
      <c r="C39" s="13" t="s">
        <v>145</v>
      </c>
      <c r="D39" s="6">
        <v>2</v>
      </c>
      <c r="E39" s="13" t="s">
        <v>11</v>
      </c>
      <c r="F39" s="13" t="s">
        <v>146</v>
      </c>
      <c r="G39" s="13" t="s">
        <v>138</v>
      </c>
      <c r="H39" s="14" t="s">
        <v>147</v>
      </c>
    </row>
    <row r="40" spans="1:8">
      <c r="A40" s="12" t="s">
        <v>148</v>
      </c>
      <c r="B40" s="13" t="s">
        <v>328</v>
      </c>
      <c r="C40" s="13" t="s">
        <v>149</v>
      </c>
      <c r="D40" s="6">
        <v>1</v>
      </c>
      <c r="E40" s="13" t="s">
        <v>11</v>
      </c>
      <c r="F40" s="13" t="s">
        <v>150</v>
      </c>
      <c r="G40" s="13" t="s">
        <v>138</v>
      </c>
      <c r="H40" s="14" t="s">
        <v>151</v>
      </c>
    </row>
    <row r="41" spans="1:8">
      <c r="A41" s="12" t="s">
        <v>152</v>
      </c>
      <c r="B41" s="13" t="s">
        <v>329</v>
      </c>
      <c r="C41" s="13" t="s">
        <v>153</v>
      </c>
      <c r="D41" s="6">
        <v>1</v>
      </c>
      <c r="E41" s="13" t="s">
        <v>11</v>
      </c>
      <c r="F41" s="13" t="s">
        <v>154</v>
      </c>
      <c r="G41" s="13" t="s">
        <v>138</v>
      </c>
      <c r="H41" s="14" t="s">
        <v>155</v>
      </c>
    </row>
    <row r="42" spans="1:8">
      <c r="A42" s="12" t="s">
        <v>156</v>
      </c>
      <c r="B42" s="13" t="s">
        <v>330</v>
      </c>
      <c r="C42" s="13" t="s">
        <v>157</v>
      </c>
      <c r="D42" s="6">
        <v>2</v>
      </c>
      <c r="E42" s="13" t="s">
        <v>11</v>
      </c>
      <c r="F42" s="13" t="s">
        <v>158</v>
      </c>
      <c r="G42" s="13" t="s">
        <v>138</v>
      </c>
      <c r="H42" s="14" t="s">
        <v>159</v>
      </c>
    </row>
    <row r="43" spans="1:8">
      <c r="A43" s="12" t="s">
        <v>160</v>
      </c>
      <c r="B43" s="13" t="s">
        <v>331</v>
      </c>
      <c r="C43" s="13" t="s">
        <v>161</v>
      </c>
      <c r="D43" s="6">
        <v>8</v>
      </c>
      <c r="E43" s="13" t="s">
        <v>11</v>
      </c>
      <c r="F43" s="13" t="s">
        <v>162</v>
      </c>
      <c r="G43" s="13" t="s">
        <v>138</v>
      </c>
      <c r="H43" s="14" t="s">
        <v>163</v>
      </c>
    </row>
    <row r="44" spans="1:8">
      <c r="A44" s="12" t="s">
        <v>164</v>
      </c>
      <c r="B44" s="13" t="s">
        <v>165</v>
      </c>
      <c r="C44" s="13" t="s">
        <v>166</v>
      </c>
      <c r="D44" s="6">
        <v>2</v>
      </c>
      <c r="E44" s="13" t="s">
        <v>117</v>
      </c>
      <c r="F44" s="13" t="s">
        <v>167</v>
      </c>
      <c r="G44" s="13" t="s">
        <v>54</v>
      </c>
      <c r="H44" s="14" t="s">
        <v>164</v>
      </c>
    </row>
    <row r="45" spans="1:8">
      <c r="A45" s="12" t="s">
        <v>168</v>
      </c>
      <c r="B45" s="13" t="s">
        <v>169</v>
      </c>
      <c r="C45" s="13" t="s">
        <v>170</v>
      </c>
      <c r="D45" s="6">
        <v>4</v>
      </c>
      <c r="E45" s="13" t="s">
        <v>11</v>
      </c>
      <c r="F45" s="13" t="s">
        <v>171</v>
      </c>
      <c r="G45" s="13" t="s">
        <v>172</v>
      </c>
      <c r="H45" s="14" t="s">
        <v>168</v>
      </c>
    </row>
    <row r="46" spans="1:8">
      <c r="A46" s="12" t="s">
        <v>173</v>
      </c>
      <c r="B46" s="13" t="s">
        <v>350</v>
      </c>
      <c r="C46" s="13" t="s">
        <v>174</v>
      </c>
      <c r="D46" s="6">
        <v>1</v>
      </c>
      <c r="E46" s="13" t="s">
        <v>11</v>
      </c>
      <c r="F46" s="13" t="s">
        <v>175</v>
      </c>
      <c r="G46" s="13" t="s">
        <v>176</v>
      </c>
      <c r="H46" s="14" t="s">
        <v>173</v>
      </c>
    </row>
    <row r="47" spans="1:8">
      <c r="A47" s="12" t="s">
        <v>177</v>
      </c>
      <c r="B47" s="13" t="s">
        <v>9</v>
      </c>
      <c r="C47" s="13" t="s">
        <v>178</v>
      </c>
      <c r="D47" s="6">
        <v>1</v>
      </c>
      <c r="E47" s="13" t="s">
        <v>11</v>
      </c>
      <c r="F47" s="13" t="s">
        <v>179</v>
      </c>
      <c r="G47" s="6"/>
      <c r="H47" s="7"/>
    </row>
    <row r="48" spans="1:8">
      <c r="A48" s="12" t="s">
        <v>177</v>
      </c>
      <c r="B48" s="13" t="s">
        <v>291</v>
      </c>
      <c r="C48" s="13" t="s">
        <v>180</v>
      </c>
      <c r="D48" s="6">
        <v>6</v>
      </c>
      <c r="E48" s="13" t="s">
        <v>11</v>
      </c>
      <c r="F48" s="13" t="s">
        <v>17</v>
      </c>
      <c r="G48" s="13" t="s">
        <v>18</v>
      </c>
      <c r="H48" s="14" t="s">
        <v>19</v>
      </c>
    </row>
    <row r="49" spans="1:8">
      <c r="A49" s="12" t="s">
        <v>181</v>
      </c>
      <c r="B49" s="13" t="s">
        <v>305</v>
      </c>
      <c r="C49" s="13" t="s">
        <v>182</v>
      </c>
      <c r="D49" s="6">
        <v>16</v>
      </c>
      <c r="E49" s="13" t="s">
        <v>11</v>
      </c>
      <c r="F49" s="13" t="s">
        <v>17</v>
      </c>
      <c r="G49" s="13" t="s">
        <v>39</v>
      </c>
      <c r="H49" s="14" t="s">
        <v>75</v>
      </c>
    </row>
    <row r="50" spans="1:8">
      <c r="A50" s="12" t="s">
        <v>183</v>
      </c>
      <c r="B50" s="13" t="s">
        <v>308</v>
      </c>
      <c r="C50" s="13" t="s">
        <v>184</v>
      </c>
      <c r="D50" s="6">
        <v>3</v>
      </c>
      <c r="E50" s="13" t="s">
        <v>11</v>
      </c>
      <c r="F50" s="13" t="s">
        <v>17</v>
      </c>
      <c r="G50" s="13" t="s">
        <v>39</v>
      </c>
      <c r="H50" s="14" t="s">
        <v>84</v>
      </c>
    </row>
    <row r="51" spans="1:8">
      <c r="A51" s="12" t="s">
        <v>185</v>
      </c>
      <c r="B51" s="13" t="s">
        <v>316</v>
      </c>
      <c r="C51" s="13" t="s">
        <v>186</v>
      </c>
      <c r="D51" s="6">
        <v>1</v>
      </c>
      <c r="E51" s="13" t="s">
        <v>11</v>
      </c>
      <c r="F51" s="13" t="s">
        <v>17</v>
      </c>
      <c r="G51" s="13" t="s">
        <v>39</v>
      </c>
      <c r="H51" s="14" t="s">
        <v>105</v>
      </c>
    </row>
    <row r="52" spans="1:8">
      <c r="A52" s="12" t="s">
        <v>187</v>
      </c>
      <c r="B52" s="13" t="s">
        <v>188</v>
      </c>
      <c r="C52" s="13" t="s">
        <v>189</v>
      </c>
      <c r="D52" s="6">
        <v>2</v>
      </c>
      <c r="E52" s="13" t="s">
        <v>117</v>
      </c>
      <c r="F52" s="13" t="s">
        <v>190</v>
      </c>
      <c r="G52" s="13" t="s">
        <v>191</v>
      </c>
      <c r="H52" s="14" t="s">
        <v>187</v>
      </c>
    </row>
    <row r="53" spans="1:8">
      <c r="A53" s="12" t="s">
        <v>192</v>
      </c>
      <c r="B53" s="13" t="s">
        <v>332</v>
      </c>
      <c r="C53" s="13" t="s">
        <v>193</v>
      </c>
      <c r="D53" s="6">
        <v>1</v>
      </c>
      <c r="E53" s="13" t="s">
        <v>117</v>
      </c>
      <c r="F53" s="13" t="s">
        <v>194</v>
      </c>
      <c r="G53" s="13" t="s">
        <v>195</v>
      </c>
      <c r="H53" s="14" t="s">
        <v>192</v>
      </c>
    </row>
    <row r="54" spans="1:8">
      <c r="A54" s="12" t="s">
        <v>196</v>
      </c>
      <c r="B54" s="13" t="s">
        <v>9</v>
      </c>
      <c r="C54" s="13" t="s">
        <v>197</v>
      </c>
      <c r="D54" s="6">
        <v>1</v>
      </c>
      <c r="E54" s="13" t="s">
        <v>11</v>
      </c>
      <c r="F54" s="13" t="s">
        <v>198</v>
      </c>
      <c r="G54" s="6"/>
      <c r="H54" s="7"/>
    </row>
    <row r="55" spans="1:8">
      <c r="A55" s="12" t="s">
        <v>199</v>
      </c>
      <c r="B55" s="13" t="s">
        <v>9</v>
      </c>
      <c r="C55" s="13" t="s">
        <v>200</v>
      </c>
      <c r="D55" s="6">
        <v>4</v>
      </c>
      <c r="E55" s="13" t="s">
        <v>117</v>
      </c>
      <c r="F55" s="13" t="s">
        <v>201</v>
      </c>
      <c r="G55" s="6"/>
      <c r="H55" s="7"/>
    </row>
    <row r="56" spans="1:8">
      <c r="A56" s="12" t="s">
        <v>202</v>
      </c>
      <c r="B56" s="13" t="s">
        <v>333</v>
      </c>
      <c r="C56" s="13" t="s">
        <v>203</v>
      </c>
      <c r="D56" s="6">
        <v>1</v>
      </c>
      <c r="E56" s="13" t="s">
        <v>11</v>
      </c>
      <c r="F56" s="13" t="s">
        <v>202</v>
      </c>
      <c r="G56" s="13" t="s">
        <v>204</v>
      </c>
      <c r="H56" s="14" t="s">
        <v>205</v>
      </c>
    </row>
    <row r="57" spans="1:8">
      <c r="A57" s="12" t="s">
        <v>206</v>
      </c>
      <c r="B57" s="13" t="s">
        <v>334</v>
      </c>
      <c r="C57" s="13" t="s">
        <v>207</v>
      </c>
      <c r="D57" s="6">
        <v>1</v>
      </c>
      <c r="E57" s="13" t="s">
        <v>11</v>
      </c>
      <c r="F57" s="13" t="s">
        <v>208</v>
      </c>
      <c r="G57" s="13" t="s">
        <v>209</v>
      </c>
      <c r="H57" s="14" t="s">
        <v>206</v>
      </c>
    </row>
    <row r="58" spans="1:8">
      <c r="A58" s="12" t="s">
        <v>210</v>
      </c>
      <c r="B58" s="13" t="s">
        <v>9</v>
      </c>
      <c r="C58" s="13" t="s">
        <v>211</v>
      </c>
      <c r="D58" s="6">
        <v>6</v>
      </c>
      <c r="E58" s="13" t="s">
        <v>117</v>
      </c>
      <c r="F58" s="13" t="s">
        <v>212</v>
      </c>
      <c r="G58" s="6"/>
      <c r="H58" s="7"/>
    </row>
    <row r="59" spans="1:8">
      <c r="A59" s="12" t="s">
        <v>213</v>
      </c>
      <c r="B59" s="13" t="s">
        <v>335</v>
      </c>
      <c r="C59" s="13" t="s">
        <v>214</v>
      </c>
      <c r="D59" s="6">
        <v>4</v>
      </c>
      <c r="E59" s="13" t="s">
        <v>11</v>
      </c>
      <c r="F59" s="13" t="s">
        <v>215</v>
      </c>
      <c r="G59" s="13" t="s">
        <v>216</v>
      </c>
      <c r="H59" s="14" t="s">
        <v>213</v>
      </c>
    </row>
    <row r="60" spans="1:8">
      <c r="A60" s="12" t="s">
        <v>217</v>
      </c>
      <c r="B60" s="13" t="s">
        <v>336</v>
      </c>
      <c r="C60" s="13" t="s">
        <v>218</v>
      </c>
      <c r="D60" s="6">
        <v>3</v>
      </c>
      <c r="E60" s="13" t="s">
        <v>11</v>
      </c>
      <c r="F60" s="13" t="s">
        <v>219</v>
      </c>
      <c r="G60" s="13" t="s">
        <v>204</v>
      </c>
      <c r="H60" s="14" t="s">
        <v>217</v>
      </c>
    </row>
    <row r="61" spans="1:8">
      <c r="A61" s="12" t="s">
        <v>220</v>
      </c>
      <c r="B61" s="13" t="s">
        <v>337</v>
      </c>
      <c r="C61" s="13" t="s">
        <v>221</v>
      </c>
      <c r="D61" s="6">
        <v>1</v>
      </c>
      <c r="E61" s="13" t="s">
        <v>11</v>
      </c>
      <c r="F61" s="13" t="s">
        <v>222</v>
      </c>
      <c r="G61" s="13" t="s">
        <v>223</v>
      </c>
      <c r="H61" s="14" t="s">
        <v>220</v>
      </c>
    </row>
    <row r="62" spans="1:8">
      <c r="A62" s="12" t="s">
        <v>224</v>
      </c>
      <c r="B62" s="13" t="s">
        <v>338</v>
      </c>
      <c r="C62" s="13" t="s">
        <v>225</v>
      </c>
      <c r="D62" s="6">
        <v>1</v>
      </c>
      <c r="E62" s="13" t="s">
        <v>117</v>
      </c>
      <c r="F62" s="13" t="s">
        <v>226</v>
      </c>
      <c r="G62" s="13" t="s">
        <v>227</v>
      </c>
      <c r="H62" s="14" t="s">
        <v>224</v>
      </c>
    </row>
    <row r="63" spans="1:8">
      <c r="A63" s="12" t="s">
        <v>228</v>
      </c>
      <c r="B63" s="13" t="s">
        <v>339</v>
      </c>
      <c r="C63" s="13" t="s">
        <v>229</v>
      </c>
      <c r="D63" s="6">
        <v>2</v>
      </c>
      <c r="E63" s="13" t="s">
        <v>11</v>
      </c>
      <c r="F63" s="13" t="s">
        <v>230</v>
      </c>
      <c r="G63" s="13" t="s">
        <v>227</v>
      </c>
      <c r="H63" s="14" t="s">
        <v>228</v>
      </c>
    </row>
    <row r="64" spans="1:8">
      <c r="A64" s="12" t="s">
        <v>231</v>
      </c>
      <c r="B64" s="13" t="s">
        <v>340</v>
      </c>
      <c r="C64" s="13" t="s">
        <v>232</v>
      </c>
      <c r="D64" s="6">
        <v>1</v>
      </c>
      <c r="E64" s="13" t="s">
        <v>117</v>
      </c>
      <c r="F64" s="13" t="s">
        <v>233</v>
      </c>
      <c r="G64" s="13" t="s">
        <v>234</v>
      </c>
      <c r="H64" s="14" t="s">
        <v>231</v>
      </c>
    </row>
    <row r="65" spans="1:8">
      <c r="A65" s="12" t="s">
        <v>235</v>
      </c>
      <c r="B65" s="13" t="s">
        <v>9</v>
      </c>
      <c r="C65" s="13" t="s">
        <v>236</v>
      </c>
      <c r="D65" s="6">
        <v>1</v>
      </c>
      <c r="E65" s="13" t="s">
        <v>11</v>
      </c>
      <c r="F65" s="13" t="s">
        <v>237</v>
      </c>
      <c r="G65" s="6"/>
      <c r="H65" s="7"/>
    </row>
    <row r="66" spans="1:8">
      <c r="A66" s="12" t="s">
        <v>238</v>
      </c>
      <c r="B66" s="13" t="s">
        <v>9</v>
      </c>
      <c r="C66" s="13" t="s">
        <v>239</v>
      </c>
      <c r="D66" s="6">
        <v>1</v>
      </c>
      <c r="E66" s="13" t="s">
        <v>117</v>
      </c>
      <c r="F66" s="13" t="s">
        <v>240</v>
      </c>
      <c r="G66" s="6"/>
      <c r="H66" s="7"/>
    </row>
    <row r="67" spans="1:8">
      <c r="A67" s="12" t="s">
        <v>241</v>
      </c>
      <c r="B67" s="13" t="s">
        <v>341</v>
      </c>
      <c r="C67" s="13" t="s">
        <v>242</v>
      </c>
      <c r="D67" s="6">
        <v>2</v>
      </c>
      <c r="E67" s="13" t="s">
        <v>117</v>
      </c>
      <c r="F67" s="13" t="s">
        <v>233</v>
      </c>
      <c r="G67" s="13" t="s">
        <v>204</v>
      </c>
      <c r="H67" s="14" t="s">
        <v>241</v>
      </c>
    </row>
    <row r="68" spans="1:8">
      <c r="A68" s="12" t="s">
        <v>243</v>
      </c>
      <c r="B68" s="13" t="s">
        <v>342</v>
      </c>
      <c r="C68" s="13" t="s">
        <v>244</v>
      </c>
      <c r="D68" s="6">
        <v>1</v>
      </c>
      <c r="E68" s="13" t="s">
        <v>11</v>
      </c>
      <c r="F68" s="13" t="s">
        <v>245</v>
      </c>
      <c r="G68" s="13" t="s">
        <v>246</v>
      </c>
      <c r="H68" s="14" t="s">
        <v>247</v>
      </c>
    </row>
    <row r="69" spans="1:8">
      <c r="A69" s="12" t="s">
        <v>248</v>
      </c>
      <c r="B69" s="13" t="s">
        <v>343</v>
      </c>
      <c r="C69" s="13" t="s">
        <v>249</v>
      </c>
      <c r="D69" s="6">
        <v>7</v>
      </c>
      <c r="E69" s="13" t="s">
        <v>117</v>
      </c>
      <c r="F69" s="13" t="s">
        <v>250</v>
      </c>
      <c r="G69" s="13" t="s">
        <v>251</v>
      </c>
      <c r="H69" s="14" t="s">
        <v>248</v>
      </c>
    </row>
    <row r="70" spans="1:8">
      <c r="A70" s="12" t="s">
        <v>252</v>
      </c>
      <c r="B70" s="13" t="s">
        <v>344</v>
      </c>
      <c r="C70" s="13" t="s">
        <v>253</v>
      </c>
      <c r="D70" s="6">
        <v>1</v>
      </c>
      <c r="E70" s="13" t="s">
        <v>117</v>
      </c>
      <c r="F70" s="13" t="s">
        <v>254</v>
      </c>
      <c r="G70" s="13" t="s">
        <v>255</v>
      </c>
      <c r="H70" s="14" t="s">
        <v>252</v>
      </c>
    </row>
    <row r="71" spans="1:8">
      <c r="A71" s="12" t="s">
        <v>256</v>
      </c>
      <c r="B71" s="13" t="s">
        <v>345</v>
      </c>
      <c r="C71" s="13" t="s">
        <v>257</v>
      </c>
      <c r="D71" s="6">
        <v>1</v>
      </c>
      <c r="E71" s="13" t="s">
        <v>117</v>
      </c>
      <c r="F71" s="13" t="s">
        <v>258</v>
      </c>
      <c r="G71" s="13" t="s">
        <v>246</v>
      </c>
      <c r="H71" s="14" t="s">
        <v>259</v>
      </c>
    </row>
    <row r="72" spans="1:8">
      <c r="A72" s="12" t="s">
        <v>260</v>
      </c>
      <c r="B72" s="13" t="s">
        <v>261</v>
      </c>
      <c r="C72" s="13" t="s">
        <v>262</v>
      </c>
      <c r="D72" s="6">
        <v>1</v>
      </c>
      <c r="E72" s="13" t="s">
        <v>11</v>
      </c>
      <c r="F72" s="13" t="s">
        <v>263</v>
      </c>
      <c r="G72" s="13" t="s">
        <v>204</v>
      </c>
      <c r="H72" s="14" t="s">
        <v>260</v>
      </c>
    </row>
    <row r="73" spans="1:8">
      <c r="A73" s="12" t="s">
        <v>264</v>
      </c>
      <c r="B73" s="13" t="s">
        <v>338</v>
      </c>
      <c r="C73" s="13" t="s">
        <v>265</v>
      </c>
      <c r="D73" s="6">
        <v>1</v>
      </c>
      <c r="E73" s="13" t="s">
        <v>266</v>
      </c>
      <c r="F73" s="13" t="s">
        <v>267</v>
      </c>
      <c r="G73" s="13" t="s">
        <v>204</v>
      </c>
      <c r="H73" s="14" t="s">
        <v>264</v>
      </c>
    </row>
    <row r="74" spans="1:8">
      <c r="A74" s="12" t="s">
        <v>268</v>
      </c>
      <c r="B74" s="13" t="s">
        <v>269</v>
      </c>
      <c r="C74" s="13" t="s">
        <v>270</v>
      </c>
      <c r="D74" s="6">
        <v>1</v>
      </c>
      <c r="E74" s="13" t="s">
        <v>11</v>
      </c>
      <c r="F74" s="13" t="s">
        <v>271</v>
      </c>
      <c r="G74" s="13" t="s">
        <v>272</v>
      </c>
      <c r="H74" s="14" t="s">
        <v>268</v>
      </c>
    </row>
    <row r="75" spans="1:8">
      <c r="A75" s="12" t="s">
        <v>273</v>
      </c>
      <c r="B75" s="13" t="s">
        <v>346</v>
      </c>
      <c r="C75" s="13" t="s">
        <v>274</v>
      </c>
      <c r="D75" s="6">
        <v>7</v>
      </c>
      <c r="E75" s="13" t="s">
        <v>11</v>
      </c>
      <c r="F75" s="13" t="s">
        <v>275</v>
      </c>
      <c r="G75" s="13" t="s">
        <v>276</v>
      </c>
      <c r="H75" s="14" t="s">
        <v>273</v>
      </c>
    </row>
    <row r="76" spans="1:8">
      <c r="A76" s="12" t="s">
        <v>277</v>
      </c>
      <c r="B76" s="13" t="s">
        <v>347</v>
      </c>
      <c r="C76" s="13" t="s">
        <v>278</v>
      </c>
      <c r="D76" s="6">
        <v>1</v>
      </c>
      <c r="E76" s="13" t="s">
        <v>11</v>
      </c>
      <c r="F76" s="13" t="s">
        <v>171</v>
      </c>
      <c r="G76" s="13" t="s">
        <v>246</v>
      </c>
      <c r="H76" s="14" t="s">
        <v>277</v>
      </c>
    </row>
    <row r="77" spans="1:8">
      <c r="A77" s="12" t="s">
        <v>279</v>
      </c>
      <c r="B77" s="13" t="s">
        <v>348</v>
      </c>
      <c r="C77" s="13" t="s">
        <v>280</v>
      </c>
      <c r="D77" s="6">
        <v>1</v>
      </c>
      <c r="E77" s="13" t="s">
        <v>117</v>
      </c>
      <c r="F77" s="13" t="s">
        <v>281</v>
      </c>
      <c r="G77" s="13" t="s">
        <v>204</v>
      </c>
      <c r="H77" s="14" t="s">
        <v>279</v>
      </c>
    </row>
    <row r="78" spans="1:8">
      <c r="A78" s="12" t="s">
        <v>282</v>
      </c>
      <c r="B78" s="13" t="s">
        <v>283</v>
      </c>
      <c r="C78" s="13" t="s">
        <v>284</v>
      </c>
      <c r="D78" s="6">
        <v>1</v>
      </c>
      <c r="E78" s="13" t="s">
        <v>117</v>
      </c>
      <c r="F78" s="13" t="s">
        <v>285</v>
      </c>
      <c r="G78" s="13" t="s">
        <v>204</v>
      </c>
      <c r="H78" s="14" t="s">
        <v>282</v>
      </c>
    </row>
    <row r="79" spans="1:8">
      <c r="A79" s="15" t="s">
        <v>286</v>
      </c>
      <c r="B79" s="16" t="s">
        <v>349</v>
      </c>
      <c r="C79" s="16" t="s">
        <v>287</v>
      </c>
      <c r="D79" s="8">
        <v>4</v>
      </c>
      <c r="E79" s="16" t="s">
        <v>117</v>
      </c>
      <c r="F79" s="16" t="s">
        <v>288</v>
      </c>
      <c r="G79" s="16" t="s">
        <v>204</v>
      </c>
      <c r="H79" s="17" t="s">
        <v>286</v>
      </c>
    </row>
    <row r="82" spans="2:4">
      <c r="B82" s="18" t="s">
        <v>351</v>
      </c>
      <c r="D82">
        <f>SUM(D2:D79)</f>
        <v>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BEE-DAL_EXP_V1.0</vt:lpstr>
      <vt:lpstr>'BEE-DAL_EXP_V1.0'!Print_Titles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NTDUY</dc:creator>
  <cp:lastModifiedBy>NGUYỄN THANH DUY</cp:lastModifiedBy>
  <dcterms:created xsi:type="dcterms:W3CDTF">2026-08-11T01:04:59Z</dcterms:created>
  <dcterms:modified xsi:type="dcterms:W3CDTF">2026-08-11T02:38:46Z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BC5C5F5AB6F54A8CA06F5AF9BBC22E68_11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